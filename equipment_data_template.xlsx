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Hobby\Quotation Maker\ver3 - claude\"/>
    </mc:Choice>
  </mc:AlternateContent>
  <xr:revisionPtr revIDLastSave="0" documentId="13_ncr:1_{752AF73D-F76F-4313-87C3-6EDF3BEAC31A}" xr6:coauthVersionLast="47" xr6:coauthVersionMax="47" xr10:uidLastSave="{00000000-0000-0000-0000-000000000000}"/>
  <bookViews>
    <workbookView xWindow="6225" yWindow="6015" windowWidth="28800" windowHeight="14865" xr2:uid="{13392A96-FF9B-48C4-A28C-EE7540F8DB4D}"/>
  </bookViews>
  <sheets>
    <sheet name="Product" sheetId="2" r:id="rId1"/>
    <sheet name="Sheet1" sheetId="1" r:id="rId2"/>
  </sheets>
  <definedNames>
    <definedName name="_xlnm._FilterDatabase" localSheetId="0" hidden="1">Product!$A$1:$AN$7</definedName>
    <definedName name="GBP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J2" i="2"/>
  <c r="D2" i="2"/>
</calcChain>
</file>

<file path=xl/sharedStrings.xml><?xml version="1.0" encoding="utf-8"?>
<sst xmlns="http://schemas.openxmlformats.org/spreadsheetml/2006/main" count="105" uniqueCount="90">
  <si>
    <t>Model</t>
  </si>
  <si>
    <t>TPL</t>
  </si>
  <si>
    <t>Type</t>
  </si>
  <si>
    <t>Series</t>
  </si>
  <si>
    <t>Air Quality</t>
  </si>
  <si>
    <t>WC/AC</t>
  </si>
  <si>
    <t>kW</t>
  </si>
  <si>
    <t>hp</t>
  </si>
  <si>
    <t>Loading Pressure</t>
  </si>
  <si>
    <t>Unload Pressure</t>
  </si>
  <si>
    <t>Min m3/min</t>
  </si>
  <si>
    <t>Max m3/min</t>
  </si>
  <si>
    <t>Min CFM</t>
  </si>
  <si>
    <t>Max CFM</t>
  </si>
  <si>
    <t>IE Rating</t>
  </si>
  <si>
    <t>Motor Type</t>
  </si>
  <si>
    <t>Dimension</t>
  </si>
  <si>
    <t>RM/ Unit</t>
  </si>
  <si>
    <t>Refrigerant</t>
  </si>
  <si>
    <t>tank volume</t>
  </si>
  <si>
    <t>tank pressure</t>
  </si>
  <si>
    <t>tank dimension</t>
  </si>
  <si>
    <t>tank outlet</t>
  </si>
  <si>
    <t>Filter, m3/min</t>
  </si>
  <si>
    <t>filter, cfm</t>
  </si>
  <si>
    <t>filter oil carry over</t>
  </si>
  <si>
    <t>filter dimension</t>
  </si>
  <si>
    <t>filter outlet</t>
  </si>
  <si>
    <t>filter weight</t>
  </si>
  <si>
    <t>AB110 - 10V</t>
  </si>
  <si>
    <t>S411064</t>
  </si>
  <si>
    <t>Water Lub, Air Cool, Oil-free, VFD</t>
  </si>
  <si>
    <t>Oil Free</t>
  </si>
  <si>
    <t>Air Cooled</t>
  </si>
  <si>
    <t>IE3</t>
  </si>
  <si>
    <t>TEFC, Class F, IP55</t>
  </si>
  <si>
    <t>3045 x 1870 x 1982</t>
  </si>
  <si>
    <t>2.5"</t>
  </si>
  <si>
    <t>400v / 3 Ph / 50hz</t>
  </si>
  <si>
    <t>Ambient + 10degC</t>
  </si>
  <si>
    <t>Inverter, VFD</t>
  </si>
  <si>
    <t>1"</t>
  </si>
  <si>
    <t>AF</t>
  </si>
  <si>
    <t>Filter</t>
  </si>
  <si>
    <t>ATYF1000 HH</t>
  </si>
  <si>
    <t>Air receiver tank, hand hole</t>
  </si>
  <si>
    <t>AT</t>
  </si>
  <si>
    <t>Air tank</t>
  </si>
  <si>
    <t>S275JR</t>
  </si>
  <si>
    <t>780 (OD) x 2601</t>
  </si>
  <si>
    <t>2"</t>
  </si>
  <si>
    <t>Refrigerant Dryer</t>
  </si>
  <si>
    <t>Dryer</t>
  </si>
  <si>
    <t>230v / 1ph / 50hz</t>
  </si>
  <si>
    <t>R134a</t>
  </si>
  <si>
    <t>EGRD80</t>
  </si>
  <si>
    <t>S04205</t>
  </si>
  <si>
    <t>420 x 380 x 775</t>
  </si>
  <si>
    <t>Air Cooled, Oil injected, Inverter</t>
  </si>
  <si>
    <t>Oil injected</t>
  </si>
  <si>
    <r>
      <t>Ambient + 10</t>
    </r>
    <r>
      <rPr>
        <sz val="12"/>
        <color theme="1"/>
        <rFont val="Aptos Narrow"/>
        <family val="2"/>
      </rPr>
      <t>º</t>
    </r>
    <r>
      <rPr>
        <sz val="12"/>
        <color theme="1"/>
        <rFont val="Calibri"/>
        <family val="2"/>
      </rPr>
      <t>C</t>
    </r>
  </si>
  <si>
    <t>&lt;1 ppm</t>
  </si>
  <si>
    <t>EG75 - 10.5V</t>
  </si>
  <si>
    <t>S016497</t>
  </si>
  <si>
    <t>2065 x 1355 x 1970</t>
  </si>
  <si>
    <t>3/8"</t>
  </si>
  <si>
    <t>AF 0021 P</t>
  </si>
  <si>
    <t>B003308170001</t>
  </si>
  <si>
    <t>Pre filter</t>
  </si>
  <si>
    <t>90 x 74 x 251</t>
  </si>
  <si>
    <t>AF 0021 F</t>
  </si>
  <si>
    <t>B003308170019</t>
  </si>
  <si>
    <t>Post filter</t>
  </si>
  <si>
    <t>Outlet size</t>
  </si>
  <si>
    <t>Weight</t>
  </si>
  <si>
    <t>Noise level</t>
  </si>
  <si>
    <t>Power Supply</t>
  </si>
  <si>
    <t>Outlet air temperature</t>
  </si>
  <si>
    <t>Starter Type</t>
  </si>
  <si>
    <t>Input water flow</t>
  </si>
  <si>
    <t>water pressure</t>
  </si>
  <si>
    <t>Pressure drop</t>
  </si>
  <si>
    <t>Oil carry over</t>
  </si>
  <si>
    <t>Particle removal</t>
  </si>
  <si>
    <t>Air tank Material</t>
  </si>
  <si>
    <t>USD/Unit</t>
  </si>
  <si>
    <t>Flow, m3/min</t>
  </si>
  <si>
    <t>Flow, cfm</t>
  </si>
  <si>
    <t>Weight, KG</t>
  </si>
  <si>
    <t>Noise,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</si>
</sst>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&quot;RM&quot;#,##0"/>
    <numFmt numFmtId="166" formatCode="[$$-45C]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1" applyFont="1" applyFill="1" applyAlignment="1">
      <alignment horizontal="center"/>
    </xf>
    <xf numFmtId="43" fontId="3" fillId="2" borderId="1" xfId="1" applyNumberFormat="1" applyFont="1" applyFill="1" applyAlignment="1">
      <alignment horizontal="center"/>
    </xf>
    <xf numFmtId="0" fontId="3" fillId="2" borderId="1" xfId="1" applyFont="1" applyFill="1" applyAlignment="1">
      <alignment horizontal="center" wrapText="1"/>
    </xf>
    <xf numFmtId="43" fontId="3" fillId="2" borderId="1" xfId="1" applyNumberFormat="1" applyFont="1" applyFill="1" applyAlignment="1">
      <alignment horizontal="center" wrapText="1"/>
    </xf>
    <xf numFmtId="2" fontId="3" fillId="2" borderId="1" xfId="1" applyNumberFormat="1" applyFont="1" applyFill="1" applyAlignment="1">
      <alignment horizontal="center" wrapText="1"/>
    </xf>
    <xf numFmtId="2" fontId="3" fillId="2" borderId="1" xfId="1" applyNumberFormat="1" applyFont="1" applyFill="1" applyAlignment="1">
      <alignment horizontal="center"/>
    </xf>
    <xf numFmtId="164" fontId="3" fillId="2" borderId="1" xfId="1" applyNumberFormat="1" applyFont="1" applyFill="1" applyAlignment="1">
      <alignment horizontal="center" wrapText="1"/>
    </xf>
    <xf numFmtId="3" fontId="3" fillId="2" borderId="1" xfId="1" applyNumberFormat="1" applyFont="1" applyFill="1" applyAlignment="1">
      <alignment horizontal="center" wrapText="1"/>
    </xf>
    <xf numFmtId="165" fontId="3" fillId="2" borderId="1" xfId="1" applyNumberFormat="1" applyFont="1" applyFill="1" applyAlignment="1">
      <alignment horizontal="center" wrapText="1"/>
    </xf>
    <xf numFmtId="166" fontId="3" fillId="2" borderId="1" xfId="1" applyNumberFormat="1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16" fontId="4" fillId="2" borderId="0" xfId="0" applyNumberFormat="1" applyFont="1" applyFill="1" applyAlignment="1">
      <alignment horizontal="center"/>
    </xf>
  </cellXfs>
  <cellStyles count="3">
    <cellStyle name="Comma 2" xfId="2" xr:uid="{B6000584-95BC-481D-BF88-B21E74DF9F78}"/>
    <cellStyle name="Heading 2" xfId="1" builtinId="17"/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63E6-2BB9-4372-8096-D716747BEA8B}">
  <sheetPr codeName="Sheet3">
    <pageSetUpPr autoPageBreaks="0"/>
  </sheetPr>
  <dimension ref="A1:AZ7"/>
  <sheetViews>
    <sheetView tabSelected="1" zoomScaleNormal="100"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RowHeight="15.75" outlineLevelCol="1" x14ac:dyDescent="0.25"/>
  <cols>
    <col min="1" max="1" width="18.5703125" style="11" customWidth="1"/>
    <col min="2" max="2" width="16.7109375" style="11" bestFit="1" customWidth="1"/>
    <col min="3" max="3" width="40.85546875" style="11" customWidth="1"/>
    <col min="4" max="4" width="9.140625" style="11" customWidth="1"/>
    <col min="5" max="5" width="11.7109375" style="11" customWidth="1"/>
    <col min="6" max="6" width="14.28515625" style="11" customWidth="1" outlineLevel="1"/>
    <col min="7" max="7" width="7.140625" style="11" customWidth="1" outlineLevel="1"/>
    <col min="8" max="8" width="7.85546875" style="11" customWidth="1" outlineLevel="1"/>
    <col min="9" max="9" width="12.7109375" style="11" customWidth="1" outlineLevel="1"/>
    <col min="10" max="10" width="16.5703125" style="11" customWidth="1" outlineLevel="1"/>
    <col min="11" max="11" width="16.140625" style="12" customWidth="1" outlineLevel="1"/>
    <col min="12" max="12" width="17.85546875" style="12" customWidth="1" outlineLevel="1"/>
    <col min="13" max="13" width="12.140625" style="13" customWidth="1" outlineLevel="1"/>
    <col min="14" max="15" width="12" style="13" customWidth="1" outlineLevel="1"/>
    <col min="16" max="16" width="19.85546875" style="13" customWidth="1" outlineLevel="1"/>
    <col min="17" max="17" width="24.42578125" style="11" customWidth="1" outlineLevel="1"/>
    <col min="18" max="18" width="11.42578125" style="11" customWidth="1" outlineLevel="1"/>
    <col min="19" max="21" width="9.140625" style="11" customWidth="1" outlineLevel="1"/>
    <col min="22" max="22" width="21.7109375" style="11" customWidth="1" outlineLevel="1"/>
    <col min="23" max="23" width="24.5703125" style="11" customWidth="1" outlineLevel="1"/>
    <col min="24" max="24" width="10.140625" style="11" customWidth="1" outlineLevel="1"/>
    <col min="25" max="26" width="9.140625" style="11" customWidth="1" outlineLevel="1"/>
    <col min="27" max="27" width="7.85546875" style="11" customWidth="1" outlineLevel="1"/>
    <col min="28" max="28" width="11.5703125" style="14" bestFit="1" customWidth="1"/>
    <col min="29" max="29" width="10.85546875" style="15" customWidth="1"/>
    <col min="30" max="30" width="6.140625" style="11" customWidth="1"/>
    <col min="31" max="31" width="9.140625" style="16" customWidth="1" outlineLevel="1"/>
    <col min="32" max="33" width="9.140625" style="11" customWidth="1" outlineLevel="1"/>
    <col min="34" max="34" width="18.5703125" style="11" customWidth="1" outlineLevel="1"/>
    <col min="35" max="35" width="9.140625" style="11" customWidth="1" outlineLevel="1"/>
    <col min="36" max="36" width="4" style="11" customWidth="1"/>
    <col min="37" max="39" width="9.140625" style="11" customWidth="1" outlineLevel="1"/>
    <col min="40" max="40" width="10" style="11" customWidth="1" outlineLevel="1"/>
    <col min="41" max="43" width="9.140625" style="11" customWidth="1" outlineLevel="1"/>
    <col min="44" max="44" width="4.140625" style="11" customWidth="1" outlineLevel="1"/>
    <col min="45" max="16384" width="9.140625" style="11"/>
  </cols>
  <sheetData>
    <row r="1" spans="1:52" ht="57.75" customHeight="1" thickBot="1" x14ac:dyDescent="0.3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1" t="s">
        <v>16</v>
      </c>
      <c r="R1" s="3" t="s">
        <v>73</v>
      </c>
      <c r="S1" s="3" t="s">
        <v>74</v>
      </c>
      <c r="T1" s="3" t="s">
        <v>75</v>
      </c>
      <c r="U1" s="3" t="s">
        <v>76</v>
      </c>
      <c r="V1" s="8" t="s">
        <v>77</v>
      </c>
      <c r="W1" s="8" t="s">
        <v>78</v>
      </c>
      <c r="X1" s="3" t="s">
        <v>79</v>
      </c>
      <c r="Y1" s="3" t="s">
        <v>80</v>
      </c>
      <c r="Z1" s="3" t="s">
        <v>81</v>
      </c>
      <c r="AA1" s="3" t="s">
        <v>82</v>
      </c>
      <c r="AB1" s="9" t="s">
        <v>17</v>
      </c>
      <c r="AC1" s="10" t="s">
        <v>85</v>
      </c>
      <c r="AE1" s="8" t="s">
        <v>19</v>
      </c>
      <c r="AF1" s="8" t="s">
        <v>84</v>
      </c>
      <c r="AG1" s="8" t="s">
        <v>20</v>
      </c>
      <c r="AH1" s="8" t="s">
        <v>21</v>
      </c>
      <c r="AI1" s="8" t="s">
        <v>22</v>
      </c>
      <c r="AJ1" s="8"/>
      <c r="AK1" s="8" t="s">
        <v>23</v>
      </c>
      <c r="AL1" s="8" t="s">
        <v>24</v>
      </c>
      <c r="AM1" s="8" t="s">
        <v>25</v>
      </c>
      <c r="AN1" s="3" t="s">
        <v>83</v>
      </c>
      <c r="AO1" s="3" t="s">
        <v>26</v>
      </c>
      <c r="AP1" s="3" t="s">
        <v>27</v>
      </c>
      <c r="AQ1" s="3" t="s">
        <v>28</v>
      </c>
      <c r="AR1" s="3"/>
      <c r="AS1" s="3" t="s">
        <v>18</v>
      </c>
      <c r="AT1" s="3" t="s">
        <v>86</v>
      </c>
      <c r="AU1" s="3" t="s">
        <v>87</v>
      </c>
      <c r="AV1" s="3" t="s">
        <v>76</v>
      </c>
      <c r="AW1" s="3" t="s">
        <v>16</v>
      </c>
      <c r="AX1" s="3" t="s">
        <v>73</v>
      </c>
      <c r="AY1" s="3" t="s">
        <v>88</v>
      </c>
      <c r="AZ1" s="3" t="s">
        <v>89</v>
      </c>
    </row>
    <row r="2" spans="1:52" ht="16.5" thickTop="1" x14ac:dyDescent="0.25">
      <c r="A2" s="11" t="s">
        <v>29</v>
      </c>
      <c r="B2" s="11" t="s">
        <v>30</v>
      </c>
      <c r="C2" s="11" t="s">
        <v>31</v>
      </c>
      <c r="D2" s="11" t="str">
        <f t="shared" ref="D2" si="0">LEFT(A2,2)</f>
        <v>AB</v>
      </c>
      <c r="E2" s="11" t="s">
        <v>32</v>
      </c>
      <c r="F2" s="11" t="s">
        <v>33</v>
      </c>
      <c r="G2" s="11">
        <v>110</v>
      </c>
      <c r="H2" s="11">
        <v>150</v>
      </c>
      <c r="I2" s="11">
        <v>10</v>
      </c>
      <c r="J2" s="11">
        <f t="shared" ref="J2" si="1">I2+0.5</f>
        <v>10.5</v>
      </c>
      <c r="K2" s="12">
        <v>5.41</v>
      </c>
      <c r="L2" s="12">
        <v>12.46</v>
      </c>
      <c r="M2" s="13">
        <v>191</v>
      </c>
      <c r="N2" s="13">
        <v>440</v>
      </c>
      <c r="O2" s="13" t="s">
        <v>34</v>
      </c>
      <c r="P2" s="13" t="s">
        <v>35</v>
      </c>
      <c r="Q2" s="11" t="s">
        <v>36</v>
      </c>
      <c r="R2" s="11" t="s">
        <v>37</v>
      </c>
      <c r="S2" s="11">
        <v>3723</v>
      </c>
      <c r="T2" s="11">
        <v>79</v>
      </c>
      <c r="U2" s="11" t="s">
        <v>38</v>
      </c>
      <c r="V2" s="11" t="s">
        <v>39</v>
      </c>
      <c r="W2" s="11" t="s">
        <v>40</v>
      </c>
      <c r="AB2" s="14">
        <v>0</v>
      </c>
    </row>
    <row r="3" spans="1:52" x14ac:dyDescent="0.25">
      <c r="A3" s="11" t="s">
        <v>44</v>
      </c>
      <c r="B3" s="11" t="s">
        <v>44</v>
      </c>
      <c r="C3" s="11" t="s">
        <v>45</v>
      </c>
      <c r="D3" s="11" t="s">
        <v>46</v>
      </c>
      <c r="E3" s="11" t="s">
        <v>47</v>
      </c>
      <c r="AB3" s="14">
        <v>6828.5714285714294</v>
      </c>
      <c r="AE3" s="16">
        <v>1000</v>
      </c>
      <c r="AF3" s="11" t="s">
        <v>48</v>
      </c>
      <c r="AG3" s="11">
        <v>10.3</v>
      </c>
      <c r="AH3" s="11" t="s">
        <v>49</v>
      </c>
      <c r="AI3" s="11" t="s">
        <v>50</v>
      </c>
    </row>
    <row r="4" spans="1:52" x14ac:dyDescent="0.25">
      <c r="A4" s="11" t="s">
        <v>55</v>
      </c>
      <c r="B4" s="11" t="s">
        <v>56</v>
      </c>
      <c r="C4" s="11" t="s">
        <v>51</v>
      </c>
      <c r="D4" s="11" t="s">
        <v>52</v>
      </c>
      <c r="F4" s="11" t="s">
        <v>33</v>
      </c>
      <c r="AB4" s="14">
        <v>0</v>
      </c>
      <c r="AS4" s="11" t="s">
        <v>54</v>
      </c>
      <c r="AT4" s="12">
        <v>2.4</v>
      </c>
      <c r="AU4" s="13">
        <v>85</v>
      </c>
      <c r="AV4" s="11" t="s">
        <v>53</v>
      </c>
      <c r="AW4" s="11" t="s">
        <v>57</v>
      </c>
      <c r="AX4" s="11" t="s">
        <v>41</v>
      </c>
      <c r="AY4" s="11">
        <v>34</v>
      </c>
      <c r="AZ4" s="11">
        <v>70</v>
      </c>
    </row>
    <row r="5" spans="1:52" x14ac:dyDescent="0.25">
      <c r="A5" s="11" t="s">
        <v>62</v>
      </c>
      <c r="B5" s="11" t="s">
        <v>63</v>
      </c>
      <c r="C5" s="11" t="s">
        <v>58</v>
      </c>
      <c r="D5" s="11" t="str">
        <f t="shared" ref="D5" si="2">LEFT(A5,2)</f>
        <v>EG</v>
      </c>
      <c r="E5" s="11" t="s">
        <v>59</v>
      </c>
      <c r="F5" s="11" t="s">
        <v>33</v>
      </c>
      <c r="G5" s="11">
        <v>75</v>
      </c>
      <c r="H5" s="11">
        <v>100</v>
      </c>
      <c r="I5" s="11">
        <v>9.5</v>
      </c>
      <c r="J5" s="11">
        <v>10</v>
      </c>
      <c r="K5" s="12">
        <v>2.69</v>
      </c>
      <c r="L5" s="12">
        <v>12.86</v>
      </c>
      <c r="M5" s="13">
        <v>95</v>
      </c>
      <c r="N5" s="13">
        <v>454</v>
      </c>
      <c r="O5" s="13" t="s">
        <v>34</v>
      </c>
      <c r="P5" s="13" t="s">
        <v>35</v>
      </c>
      <c r="Q5" s="11" t="s">
        <v>64</v>
      </c>
      <c r="R5" s="11" t="s">
        <v>37</v>
      </c>
      <c r="S5" s="11">
        <v>2040</v>
      </c>
      <c r="T5" s="11">
        <v>69</v>
      </c>
      <c r="U5" s="11" t="s">
        <v>38</v>
      </c>
      <c r="V5" s="11" t="s">
        <v>60</v>
      </c>
      <c r="W5" s="11" t="s">
        <v>40</v>
      </c>
      <c r="AA5" s="11" t="s">
        <v>61</v>
      </c>
      <c r="AB5" s="14">
        <v>105318.57142857143</v>
      </c>
    </row>
    <row r="6" spans="1:52" x14ac:dyDescent="0.25">
      <c r="A6" s="11" t="s">
        <v>66</v>
      </c>
      <c r="B6" s="11" t="s">
        <v>67</v>
      </c>
      <c r="C6" s="11" t="s">
        <v>68</v>
      </c>
      <c r="D6" s="11" t="s">
        <v>42</v>
      </c>
      <c r="E6" s="11" t="s">
        <v>43</v>
      </c>
      <c r="AB6" s="14">
        <v>397.14285714285717</v>
      </c>
      <c r="AK6" s="11">
        <v>0.59</v>
      </c>
      <c r="AL6" s="11">
        <v>21</v>
      </c>
      <c r="AM6" s="11">
        <v>0.1</v>
      </c>
      <c r="AN6" s="11">
        <v>1</v>
      </c>
      <c r="AO6" s="11" t="s">
        <v>69</v>
      </c>
      <c r="AP6" s="17" t="s">
        <v>65</v>
      </c>
      <c r="AQ6" s="11">
        <v>1.05</v>
      </c>
    </row>
    <row r="7" spans="1:52" x14ac:dyDescent="0.25">
      <c r="A7" s="11" t="s">
        <v>70</v>
      </c>
      <c r="B7" s="11" t="s">
        <v>71</v>
      </c>
      <c r="C7" s="11" t="s">
        <v>72</v>
      </c>
      <c r="D7" s="11" t="s">
        <v>42</v>
      </c>
      <c r="E7" s="11" t="s">
        <v>43</v>
      </c>
      <c r="AB7" s="14">
        <v>397.14285714285717</v>
      </c>
      <c r="AK7" s="11">
        <v>0.59</v>
      </c>
      <c r="AL7" s="11">
        <v>21</v>
      </c>
      <c r="AM7" s="11">
        <v>0.01</v>
      </c>
      <c r="AN7" s="11">
        <v>0.01</v>
      </c>
      <c r="AO7" s="11" t="s">
        <v>69</v>
      </c>
      <c r="AP7" s="17" t="s">
        <v>65</v>
      </c>
      <c r="AQ7" s="11">
        <v>1.05</v>
      </c>
    </row>
  </sheetData>
  <autoFilter ref="A1:AN7" xr:uid="{036BB4AF-B647-4077-8EB9-3F2EFAF6D5E6}"/>
  <conditionalFormatting sqref="A1:A1048576">
    <cfRule type="duplicateValues" dxfId="3" priority="4"/>
    <cfRule type="duplicateValues" dxfId="2" priority="24"/>
  </conditionalFormatting>
  <conditionalFormatting sqref="B1:B2 B4:B1048576">
    <cfRule type="duplicateValues" dxfId="1" priority="27"/>
  </conditionalFormatting>
  <conditionalFormatting sqref="B3">
    <cfRule type="duplicateValues" dxfId="0" priority="20"/>
  </conditionalFormatting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02E2-944F-4BFE-8C5B-4AF5A1CFBD5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Tay</dc:creator>
  <cp:lastModifiedBy>Christopher Tay</cp:lastModifiedBy>
  <dcterms:created xsi:type="dcterms:W3CDTF">2026-03-01T04:39:23Z</dcterms:created>
  <dcterms:modified xsi:type="dcterms:W3CDTF">2026-06-15T01:43:24Z</dcterms:modified>
</cp:coreProperties>
</file>